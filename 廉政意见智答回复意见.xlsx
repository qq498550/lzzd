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0620" tabRatio="590" activeTab="4"/>
  </bookViews>
  <sheets>
    <sheet name="检索智答" sheetId="1" r:id="rId1"/>
    <sheet name="智答助手" sheetId="4" r:id="rId2"/>
    <sheet name="违纪信息" sheetId="2" r:id="rId3"/>
    <sheet name="违规信息" sheetId="3" r:id="rId4"/>
    <sheet name="标准答复" sheetId="5" r:id="rId5"/>
  </sheets>
  <calcPr calcId="144525"/>
</workbook>
</file>

<file path=xl/sharedStrings.xml><?xml version="1.0" encoding="utf-8"?>
<sst xmlns="http://schemas.openxmlformats.org/spreadsheetml/2006/main" count="111" uniqueCount="73">
  <si>
    <t>姓  名</t>
  </si>
  <si>
    <t>检索分类</t>
  </si>
  <si>
    <t>廉政意见智答</t>
  </si>
  <si>
    <t>智答模版</t>
  </si>
  <si>
    <t>处理机构</t>
  </si>
  <si>
    <t>问责情况</t>
  </si>
  <si>
    <t>问责时间</t>
  </si>
  <si>
    <t>有无影响期</t>
  </si>
  <si>
    <t>影响期截止日期</t>
  </si>
  <si>
    <t>事由</t>
  </si>
  <si>
    <t>王五</t>
  </si>
  <si>
    <t>违纪情况</t>
  </si>
  <si>
    <t>违规情况</t>
  </si>
  <si>
    <t>智答助手</t>
  </si>
  <si>
    <t>答复事项</t>
  </si>
  <si>
    <t>答复模版</t>
  </si>
  <si>
    <t>干部选拔任用</t>
  </si>
  <si>
    <t>第四纪检监督中心违纪问题处理信息统计表</t>
  </si>
  <si>
    <t>序号</t>
  </si>
  <si>
    <t>姓名</t>
  </si>
  <si>
    <t>年度</t>
  </si>
  <si>
    <t>分公司</t>
  </si>
  <si>
    <t>职务/职级</t>
  </si>
  <si>
    <t>违纪事由</t>
  </si>
  <si>
    <t>录入人</t>
  </si>
  <si>
    <t>审核人</t>
  </si>
  <si>
    <t>纪检</t>
  </si>
  <si>
    <t>延安</t>
  </si>
  <si>
    <t>财务部经理</t>
  </si>
  <si>
    <t>警告</t>
  </si>
  <si>
    <t>有</t>
  </si>
  <si>
    <t>财务审核把关不严</t>
  </si>
  <si>
    <t>曹六</t>
  </si>
  <si>
    <t>榆林</t>
  </si>
  <si>
    <t>片区党支部书记</t>
  </si>
  <si>
    <t>严重警告</t>
  </si>
  <si>
    <t>虚假报销费用</t>
  </si>
  <si>
    <t>李七</t>
  </si>
  <si>
    <t>铜川</t>
  </si>
  <si>
    <t>业务部副经理</t>
  </si>
  <si>
    <t>通报批评</t>
  </si>
  <si>
    <t>无</t>
  </si>
  <si>
    <t>“微腐败”问题连带责任</t>
  </si>
  <si>
    <t>第四纪检监督中心违规问题处理信息统计表</t>
  </si>
  <si>
    <t>问责类型</t>
  </si>
  <si>
    <t>刘二</t>
  </si>
  <si>
    <t>违规</t>
  </si>
  <si>
    <t>安网部经理（三级正）</t>
  </si>
  <si>
    <t>诫勉谈话</t>
  </si>
  <si>
    <t>履职不到位</t>
  </si>
  <si>
    <t>张三</t>
  </si>
  <si>
    <t>加油站经理</t>
  </si>
  <si>
    <t>记过</t>
  </si>
  <si>
    <t>擅自离岗</t>
  </si>
  <si>
    <t>乔四</t>
  </si>
  <si>
    <t>加油站营业员</t>
  </si>
  <si>
    <t>责令检查</t>
  </si>
  <si>
    <t>上班早退</t>
  </si>
  <si>
    <t>记大过</t>
  </si>
  <si>
    <t>旷工</t>
  </si>
  <si>
    <t>Herman</t>
  </si>
  <si>
    <t>咸阳</t>
  </si>
  <si>
    <t>部门经理</t>
  </si>
  <si>
    <t>迟到</t>
  </si>
  <si>
    <t>常用词条</t>
  </si>
  <si>
    <t>标准答复</t>
  </si>
  <si>
    <t>答复范围</t>
  </si>
  <si>
    <r>
      <rPr>
        <sz val="11"/>
        <color theme="1"/>
        <rFont val="宋体"/>
        <charset val="134"/>
        <scheme val="minor"/>
      </rPr>
      <t>纪检监察机构原则上仅受理上级党委（党组）和纪检监察机关（机构），以及同级部门依据相关制度征求党风廉政意见事项。主要包括：
1．干部选拔任用事项；
2．</t>
    </r>
    <r>
      <rPr>
        <sz val="11"/>
        <color rgb="FFFF0000"/>
        <rFont val="宋体"/>
        <charset val="134"/>
        <scheme val="minor"/>
      </rPr>
      <t>党委、人大、政府、政协、纪委等换届事项</t>
    </r>
    <r>
      <rPr>
        <sz val="11"/>
        <color theme="1"/>
        <rFont val="宋体"/>
        <charset val="134"/>
        <scheme val="minor"/>
      </rPr>
      <t>；
3．党中央、国务院和地方党委、政府，及同级党委（党组）审批的重要表彰奖励事项；
4．领导干部申请辞职事项；
5．上级党委（党组）和纪检监察（机关）机构、同级党委（党组）交办事项；
6．相关法律法规、制度文件明确规定需要征求意见的其他事项。</t>
    </r>
  </si>
  <si>
    <t>答复模版：
1．经审核，未收到过XXX同志的信访举报，对其作为拟提拔或进一步使用人选不持异议。
2．经审核，收到过XXX同志的信访举报。经谈话（函询），其本人对反映问题予以否认，经综合分析，组织予以采信。对XXX同志作为拟提拔或进一步使用人选不持异议。
3．经审核，收到过XXX同志的信访举报。经核查，未发现违纪违法问题证据。对XXX同志作为拟提拔或进一步使用人选不持异议。
4．经审核，收到过XXX同志的信访举报。经核查，XXXX年XX月XXX同志因XXX问题受到批评教育、谈话提醒等组织处理。对XXX同志作为拟提拔或进一步使用人选不持异议。
5．经审核，收到过XXX同志的信访举报。经核查，XXXX年XX月XXX同志因XXX问题受到诫勉（已过影响期）。对XXX同志作为拟提拔或进一步使用人选不持异议。
6．经审核，未收到过XXX同志的信访举报。此外，XXXX年XX月XXX同志因对XXX问题负有领导责任，受到诫勉/XXX党纪政务处分（已过影响期）。对XXX同志作为拟提拔或进一步使用人选不持异议。
7．经审核，收到过XXX同志的信访举报，正在办理中，建议暂缓XXX同志作为拟提拔人选。
8．经审核，收到过XXX同志的信访举报，经核查，XXX同志存在XXX问题，XXXX年XX月受到诫勉或党纪政务处分，尚在影响期内（自XXXX年XX月起至XXXX年XX月止）。建议不宜将XXX同志作为拟提拔或进一步使用人选。</t>
  </si>
  <si>
    <t>其他征求意见</t>
  </si>
  <si>
    <t>答复模版：
1. 经审核，对XXX作为XXXX人选不持异议。
2. 经审核，建议暂缓XXX作为XXXX人选。
3. 经审核，建议不宜将XXX作为XXXX人选。</t>
  </si>
  <si>
    <t>不答复情况及注意事项</t>
  </si>
  <si>
    <t>1.不答复情况：
除另有规定外，纪检监察机构一般不回复单位、组织、集体的党风廉政意见。
2.注意事项：
（1）参考口径中所列“信访举报”包括信访举报、问题线索等所有反映问题；
（2）向驻中国石油纪检监察组报送党风廉政意见时，口径以来函模版为准；地方政府、党委提供口径模版的，在满足保密要求的前提下，审慎回复意见。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</si>
</sst>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48"/>
      <color theme="1"/>
      <name val="方正黑体简体"/>
      <charset val="134"/>
    </font>
    <font>
      <sz val="11"/>
      <color theme="1"/>
      <name val="方正黑体简体"/>
      <charset val="134"/>
    </font>
    <font>
      <sz val="20"/>
      <color theme="1"/>
      <name val="方正黑体简体"/>
      <charset val="134"/>
    </font>
    <font>
      <sz val="22"/>
      <color theme="1"/>
      <name val="方正黑体简体"/>
      <charset val="134"/>
    </font>
    <font>
      <b/>
      <sz val="14"/>
      <color theme="1"/>
      <name val="微软雅黑 Light"/>
      <charset val="134"/>
    </font>
    <font>
      <b/>
      <sz val="16"/>
      <color theme="1"/>
      <name val="微软雅黑"/>
      <charset val="134"/>
    </font>
    <font>
      <sz val="16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31" fontId="0" fillId="0" borderId="1" xfId="0" applyNumberFormat="1" applyBorder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3" sqref="A3:A4"/>
    </sheetView>
  </sheetViews>
  <sheetFormatPr defaultColWidth="9" defaultRowHeight="14.3" outlineLevelRow="3"/>
  <cols>
    <col min="1" max="1" width="14.2477876106195" customWidth="1"/>
    <col min="2" max="3" width="14.1238938053097" customWidth="1"/>
    <col min="4" max="4" width="16.3716814159292" customWidth="1"/>
    <col min="5" max="5" width="12.2477876106195" customWidth="1"/>
    <col min="6" max="7" width="14.6283185840708" customWidth="1"/>
    <col min="8" max="8" width="18" customWidth="1"/>
    <col min="9" max="9" width="27" customWidth="1"/>
  </cols>
  <sheetData>
    <row r="1" ht="59" customHeight="1" spans="1:9">
      <c r="A1" s="17" t="s">
        <v>0</v>
      </c>
      <c r="B1" s="17" t="s">
        <v>1</v>
      </c>
      <c r="C1" s="18"/>
      <c r="D1" s="19" t="s">
        <v>2</v>
      </c>
      <c r="E1" s="19"/>
      <c r="F1" s="19"/>
      <c r="G1" s="19"/>
      <c r="H1" s="19"/>
      <c r="I1" s="26"/>
    </row>
    <row r="2" ht="59" customHeight="1" spans="1:9">
      <c r="A2" s="20"/>
      <c r="B2" s="20"/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</row>
    <row r="3" s="3" customFormat="1" ht="65" customHeight="1" spans="1:9">
      <c r="A3" s="22" t="s">
        <v>10</v>
      </c>
      <c r="B3" s="23" t="s">
        <v>11</v>
      </c>
      <c r="C3" s="23"/>
      <c r="D3" s="24" t="str">
        <f>_xlfn.XLOOKUP(A3,违纪信息!$B:$B,违纪信息!$C:$C,"无违纪情况",0)</f>
        <v>纪检</v>
      </c>
      <c r="E3" s="24" t="str">
        <f>IF(D3="无违纪情况","无",_xlfn.XLOOKUP(A3,违纪信息!$B:$B,违纪信息!$G:$G,"无",0))</f>
        <v>警告</v>
      </c>
      <c r="F3" s="24" t="str">
        <f>TEXT(_xlfn.XLOOKUP(A3,违纪信息!$B:$B,违纪信息!$H:$H,"无",0),"yyyymmdd")</f>
        <v>20250413</v>
      </c>
      <c r="G3" s="24" t="str">
        <f>_xlfn.XLOOKUP(A3,违纪信息!$B:$B,违纪信息!$I:$I,"无",0)</f>
        <v>有</v>
      </c>
      <c r="H3" s="24" t="str">
        <f>TEXT(_xlfn.XLOOKUP(A3,违纪信息!$B:$B,违纪信息!$J:$J,"——",0),"yyyymmdd")</f>
        <v>20260101</v>
      </c>
      <c r="I3" s="24" t="str">
        <f>_xlfn.XLOOKUP(A3,违纪信息!$B:$B,违纪信息!$K:$K,"无",0)</f>
        <v>财务审核把关不严</v>
      </c>
    </row>
    <row r="4" s="3" customFormat="1" ht="137" customHeight="1" spans="1:9">
      <c r="A4" s="25"/>
      <c r="B4" s="23" t="s">
        <v>12</v>
      </c>
      <c r="C4" s="23"/>
      <c r="D4" s="24" t="str">
        <f>_xlfn.XLOOKUP(A3,违规信息!$B:$B,违规信息!$C:$C,"无违规情况",0)</f>
        <v>违规</v>
      </c>
      <c r="E4" s="24" t="str">
        <f>IF(D4="无违规情况","无",_xlfn.XLOOKUP(A3,违规信息!$B:$B,违规信息!$G:$G,"无",0))</f>
        <v>记大过</v>
      </c>
      <c r="F4" s="24" t="str">
        <f>TEXT(_xlfn.XLOOKUP(A3,违规信息!$B:$B,违规信息!$H:$H,"无",0),"yyyymmdd")</f>
        <v>20260201</v>
      </c>
      <c r="G4" s="24" t="str">
        <f>_xlfn.XLOOKUP(A3,违规信息!$B:$B,违规信息!$I:$I,"无",0)</f>
        <v>有</v>
      </c>
      <c r="H4" s="24" t="str">
        <f>TEXT(_xlfn.XLOOKUP(A3,违规信息!$B:$B,违规信息!$J:$J,"——",0),"yyyymmdd")</f>
        <v>20260416</v>
      </c>
      <c r="I4" s="24" t="str">
        <f>_xlfn.XLOOKUP(A3,违规信息!$B:$B,违规信息!$K:$K,"无",0)</f>
        <v>旷工</v>
      </c>
    </row>
  </sheetData>
  <mergeCells count="4">
    <mergeCell ref="D1:I1"/>
    <mergeCell ref="A1:A2"/>
    <mergeCell ref="A3:A4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" defaultRowHeight="14.3" outlineLevelRow="2" outlineLevelCol="1"/>
  <cols>
    <col min="1" max="1" width="18.6283185840708" customWidth="1"/>
    <col min="2" max="2" width="77.8761061946903" customWidth="1"/>
  </cols>
  <sheetData>
    <row r="1" ht="61" customHeight="1" spans="1:2">
      <c r="A1" s="13" t="s">
        <v>13</v>
      </c>
      <c r="B1" s="13"/>
    </row>
    <row r="2" ht="32" customHeight="1" spans="1:2">
      <c r="A2" s="14" t="s">
        <v>14</v>
      </c>
      <c r="B2" s="14" t="s">
        <v>15</v>
      </c>
    </row>
    <row r="3" ht="260" customHeight="1" spans="1:2">
      <c r="A3" s="15" t="s">
        <v>16</v>
      </c>
      <c r="B3" s="16" t="str">
        <f>VLOOKUP(A3,标准答复!A:B,2,0)</f>
        <v>答复模版：
1．经审核，未收到过XXX同志的信访举报，对其作为拟提拔或进一步使用人选不持异议。
2．经审核，收到过XXX同志的信访举报。经谈话（函询），其本人对反映问题予以否认，经综合分析，组织予以采信。对XXX同志作为拟提拔或进一步使用人选不持异议。
3．经审核，收到过XXX同志的信访举报。经核查，未发现违纪违法问题证据。对XXX同志作为拟提拔或进一步使用人选不持异议。
4．经审核，收到过XXX同志的信访举报。经核查，XXXX年XX月XXX同志因XXX问题受到批评教育、谈话提醒等组织处理。对XXX同志作为拟提拔或进一步使用人选不持异议。
5．经审核，收到过XXX同志的信访举报。经核查，XXXX年XX月XXX同志因XXX问题受到诫勉（已过影响期）。对XXX同志作为拟提拔或进一步使用人选不持异议。
6．经审核，未收到过XXX同志的信访举报。此外，XXXX年XX月XXX同志因对XXX问题负有领导责任，受到诫勉/XXX党纪政务处分（已过影响期）。对XXX同志作为拟提拔或进一步使用人选不持异议。
7．经审核，收到过XXX同志的信访举报，正在办理中，建议暂缓XXX同志作为拟提拔人选。
8．经审核，收到过XXX同志的信访举报，经核查，XXX同志存在XXX问题，XXXX年XX月受到诫勉或党纪政务处分，尚在影响期内（自XXXX年XX月起至XXXX年XX月止）。建议不宜将XXX同志作为拟提拔或进一步使用人选。</v>
      </c>
    </row>
  </sheetData>
  <mergeCells count="1">
    <mergeCell ref="A1:B1"/>
  </mergeCells>
  <dataValidations count="1">
    <dataValidation type="list" allowBlank="1" showInputMessage="1" showErrorMessage="1" sqref="A3">
      <formula1>"答复范围,干部选拔任用,其他征求意见,不答复情况及注意事项"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11"/>
  <sheetViews>
    <sheetView workbookViewId="0">
      <selection activeCell="K23" sqref="K23"/>
    </sheetView>
  </sheetViews>
  <sheetFormatPr defaultColWidth="9" defaultRowHeight="14.3"/>
  <cols>
    <col min="1" max="1" width="5.12389380530973" customWidth="1"/>
    <col min="5" max="5" width="9" style="3"/>
    <col min="6" max="6" width="21.2477876106195" customWidth="1"/>
    <col min="7" max="7" width="17.646017699115" customWidth="1"/>
    <col min="8" max="8" width="14.5044247787611" customWidth="1"/>
    <col min="9" max="9" width="10.8761061946903" customWidth="1"/>
    <col min="10" max="10" width="15" customWidth="1"/>
    <col min="11" max="11" width="23.3716814159292" customWidth="1"/>
    <col min="12" max="12" width="10.8761061946903" customWidth="1"/>
  </cols>
  <sheetData>
    <row r="1" spans="1:13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10" t="s">
        <v>18</v>
      </c>
      <c r="B2" s="9" t="s">
        <v>19</v>
      </c>
      <c r="C2" s="10" t="s">
        <v>4</v>
      </c>
      <c r="D2" s="10" t="s">
        <v>20</v>
      </c>
      <c r="E2" s="9" t="s">
        <v>21</v>
      </c>
      <c r="F2" s="10" t="s">
        <v>22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23</v>
      </c>
      <c r="L2" s="10" t="s">
        <v>24</v>
      </c>
      <c r="M2" s="9" t="s">
        <v>25</v>
      </c>
    </row>
    <row r="3" spans="1:14">
      <c r="A3" s="9">
        <v>1</v>
      </c>
      <c r="B3" s="9" t="s">
        <v>10</v>
      </c>
      <c r="C3" s="9" t="s">
        <v>26</v>
      </c>
      <c r="D3" s="9">
        <v>2024</v>
      </c>
      <c r="E3" s="9" t="s">
        <v>27</v>
      </c>
      <c r="F3" s="9" t="s">
        <v>28</v>
      </c>
      <c r="G3" s="9" t="s">
        <v>29</v>
      </c>
      <c r="H3" s="11">
        <v>45760</v>
      </c>
      <c r="I3" s="11" t="s">
        <v>30</v>
      </c>
      <c r="J3" s="11">
        <v>46023</v>
      </c>
      <c r="K3" s="9" t="s">
        <v>31</v>
      </c>
      <c r="L3" s="10"/>
      <c r="M3" s="9"/>
      <c r="N3" s="3"/>
    </row>
    <row r="4" spans="1:14">
      <c r="A4" s="9">
        <v>2</v>
      </c>
      <c r="B4" s="9" t="s">
        <v>32</v>
      </c>
      <c r="C4" s="9" t="s">
        <v>26</v>
      </c>
      <c r="D4" s="9">
        <v>2025</v>
      </c>
      <c r="E4" s="9" t="s">
        <v>33</v>
      </c>
      <c r="F4" s="9" t="s">
        <v>34</v>
      </c>
      <c r="G4" s="9" t="s">
        <v>35</v>
      </c>
      <c r="H4" s="11">
        <v>45760</v>
      </c>
      <c r="I4" s="11" t="s">
        <v>30</v>
      </c>
      <c r="J4" s="11">
        <v>46024</v>
      </c>
      <c r="K4" s="9" t="s">
        <v>36</v>
      </c>
      <c r="L4" s="10"/>
      <c r="M4" s="9"/>
      <c r="N4" s="3"/>
    </row>
    <row r="5" spans="1:14">
      <c r="A5" s="9">
        <v>3</v>
      </c>
      <c r="B5" s="9" t="s">
        <v>37</v>
      </c>
      <c r="C5" s="9" t="s">
        <v>26</v>
      </c>
      <c r="D5" s="9">
        <v>2026</v>
      </c>
      <c r="E5" s="9" t="s">
        <v>38</v>
      </c>
      <c r="F5" s="9" t="s">
        <v>39</v>
      </c>
      <c r="G5" s="9" t="s">
        <v>40</v>
      </c>
      <c r="H5" s="11">
        <v>45760</v>
      </c>
      <c r="I5" s="11" t="s">
        <v>41</v>
      </c>
      <c r="J5" s="11">
        <v>46028</v>
      </c>
      <c r="K5" s="9" t="s">
        <v>42</v>
      </c>
      <c r="L5" s="10"/>
      <c r="M5" s="9"/>
      <c r="N5" s="3"/>
    </row>
    <row r="9" spans="8:8">
      <c r="H9" s="12"/>
    </row>
    <row r="10" spans="8:8">
      <c r="H10" s="12"/>
    </row>
    <row r="11" spans="8:8">
      <c r="H11" s="12"/>
    </row>
  </sheetData>
  <mergeCells count="1">
    <mergeCell ref="A1:M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7"/>
  <sheetViews>
    <sheetView workbookViewId="0">
      <selection activeCell="A2" sqref="A2:M7"/>
    </sheetView>
  </sheetViews>
  <sheetFormatPr defaultColWidth="9" defaultRowHeight="14.3" outlineLevelRow="6"/>
  <cols>
    <col min="5" max="5" width="9" style="3"/>
    <col min="6" max="6" width="19.1238938053097" customWidth="1"/>
    <col min="7" max="7" width="10.8761061946903" customWidth="1"/>
    <col min="8" max="9" width="14.5044247787611"/>
    <col min="10" max="10" width="25.3716814159292" style="3" customWidth="1"/>
    <col min="11" max="11" width="18.1238938053097" style="3" customWidth="1"/>
  </cols>
  <sheetData>
    <row r="1" spans="1:13">
      <c r="A1" s="3" t="s">
        <v>43</v>
      </c>
      <c r="B1" s="3"/>
      <c r="C1" s="3"/>
      <c r="D1" s="3"/>
      <c r="F1" s="3"/>
      <c r="G1" s="3"/>
      <c r="H1" s="3"/>
      <c r="I1" s="3"/>
      <c r="L1" s="3"/>
      <c r="M1" s="3"/>
    </row>
    <row r="2" spans="1:13">
      <c r="A2" s="4" t="s">
        <v>18</v>
      </c>
      <c r="B2" s="4" t="s">
        <v>19</v>
      </c>
      <c r="C2" s="4" t="s">
        <v>4</v>
      </c>
      <c r="D2" s="4" t="s">
        <v>20</v>
      </c>
      <c r="E2" s="4" t="s">
        <v>21</v>
      </c>
      <c r="F2" s="4" t="s">
        <v>22</v>
      </c>
      <c r="G2" s="4" t="s">
        <v>44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24</v>
      </c>
      <c r="M2" s="4" t="s">
        <v>25</v>
      </c>
    </row>
    <row r="3" spans="1:13">
      <c r="A3" s="4">
        <v>1</v>
      </c>
      <c r="B3" s="4" t="s">
        <v>45</v>
      </c>
      <c r="C3" s="4" t="s">
        <v>46</v>
      </c>
      <c r="D3" s="4">
        <v>2024</v>
      </c>
      <c r="E3" s="4" t="s">
        <v>27</v>
      </c>
      <c r="F3" s="4" t="s">
        <v>47</v>
      </c>
      <c r="G3" s="4" t="s">
        <v>48</v>
      </c>
      <c r="H3" s="5">
        <v>45963</v>
      </c>
      <c r="I3" s="5" t="s">
        <v>30</v>
      </c>
      <c r="J3" s="5">
        <v>45778</v>
      </c>
      <c r="K3" s="4" t="s">
        <v>49</v>
      </c>
      <c r="L3" s="4"/>
      <c r="M3" s="4"/>
    </row>
    <row r="4" spans="1:13">
      <c r="A4" s="4">
        <v>2</v>
      </c>
      <c r="B4" s="4" t="s">
        <v>50</v>
      </c>
      <c r="C4" s="4" t="s">
        <v>46</v>
      </c>
      <c r="D4" s="4">
        <v>2025</v>
      </c>
      <c r="E4" s="4" t="s">
        <v>33</v>
      </c>
      <c r="F4" s="4" t="s">
        <v>51</v>
      </c>
      <c r="G4" s="4" t="s">
        <v>52</v>
      </c>
      <c r="H4" s="5">
        <v>45760</v>
      </c>
      <c r="I4" s="5" t="s">
        <v>30</v>
      </c>
      <c r="J4" s="5">
        <v>46124</v>
      </c>
      <c r="K4" s="5" t="s">
        <v>53</v>
      </c>
      <c r="L4" s="4"/>
      <c r="M4" s="4"/>
    </row>
    <row r="5" spans="1:13">
      <c r="A5" s="4">
        <v>3</v>
      </c>
      <c r="B5" s="4" t="s">
        <v>54</v>
      </c>
      <c r="C5" s="4" t="s">
        <v>46</v>
      </c>
      <c r="D5" s="4">
        <v>2026</v>
      </c>
      <c r="E5" s="4" t="s">
        <v>38</v>
      </c>
      <c r="F5" s="4" t="s">
        <v>55</v>
      </c>
      <c r="G5" s="4" t="s">
        <v>56</v>
      </c>
      <c r="H5" s="5">
        <v>46054</v>
      </c>
      <c r="I5" s="5" t="s">
        <v>41</v>
      </c>
      <c r="J5" s="4"/>
      <c r="K5" s="4" t="s">
        <v>57</v>
      </c>
      <c r="L5" s="4"/>
      <c r="M5" s="4"/>
    </row>
    <row r="6" spans="1:13">
      <c r="A6" s="6">
        <v>4</v>
      </c>
      <c r="B6" s="7" t="s">
        <v>10</v>
      </c>
      <c r="C6" s="7" t="s">
        <v>46</v>
      </c>
      <c r="D6" s="7">
        <v>2024</v>
      </c>
      <c r="E6" s="8" t="s">
        <v>27</v>
      </c>
      <c r="F6" s="7" t="s">
        <v>28</v>
      </c>
      <c r="G6" s="7" t="s">
        <v>58</v>
      </c>
      <c r="H6" s="5">
        <v>46054</v>
      </c>
      <c r="I6" s="7" t="s">
        <v>30</v>
      </c>
      <c r="J6" s="5">
        <v>46128</v>
      </c>
      <c r="K6" s="8" t="s">
        <v>59</v>
      </c>
      <c r="L6" s="6"/>
      <c r="M6" s="6"/>
    </row>
    <row r="7" spans="1:13">
      <c r="A7" s="6">
        <v>5</v>
      </c>
      <c r="B7" s="7" t="s">
        <v>60</v>
      </c>
      <c r="C7" s="7" t="s">
        <v>46</v>
      </c>
      <c r="D7" s="7">
        <v>2024</v>
      </c>
      <c r="E7" s="8" t="s">
        <v>61</v>
      </c>
      <c r="F7" s="7" t="s">
        <v>62</v>
      </c>
      <c r="G7" s="7" t="s">
        <v>58</v>
      </c>
      <c r="H7" s="5">
        <v>46054</v>
      </c>
      <c r="I7" s="7" t="s">
        <v>30</v>
      </c>
      <c r="J7" s="5">
        <v>46128</v>
      </c>
      <c r="K7" s="8" t="s">
        <v>63</v>
      </c>
      <c r="L7" s="6"/>
      <c r="M7" s="6"/>
    </row>
  </sheetData>
  <mergeCells count="1">
    <mergeCell ref="A1:M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tabSelected="1" zoomScale="115" zoomScaleNormal="115" topLeftCell="A4" workbookViewId="0">
      <selection activeCell="C6" sqref="C6"/>
    </sheetView>
  </sheetViews>
  <sheetFormatPr defaultColWidth="9" defaultRowHeight="14.3" outlineLevelRow="5" outlineLevelCol="1"/>
  <cols>
    <col min="1" max="1" width="10" customWidth="1"/>
    <col min="2" max="2" width="85.6283185840708" customWidth="1"/>
  </cols>
  <sheetData>
    <row r="2" spans="1:2">
      <c r="A2" t="s">
        <v>64</v>
      </c>
      <c r="B2" t="s">
        <v>65</v>
      </c>
    </row>
    <row r="3" ht="114.65" spans="1:2">
      <c r="A3" t="s">
        <v>66</v>
      </c>
      <c r="B3" s="1" t="s">
        <v>67</v>
      </c>
    </row>
    <row r="4" ht="229" spans="1:2">
      <c r="A4" s="2" t="s">
        <v>16</v>
      </c>
      <c r="B4" s="2" t="s">
        <v>68</v>
      </c>
    </row>
    <row r="5" ht="57.35" spans="1:2">
      <c r="A5" s="2" t="s">
        <v>69</v>
      </c>
      <c r="B5" s="2" t="s">
        <v>70</v>
      </c>
    </row>
    <row r="6" ht="100.35" spans="1:2">
      <c r="A6" s="2" t="s">
        <v>71</v>
      </c>
      <c r="B6" s="2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检索智答</vt:lpstr>
      <vt:lpstr>智答助手</vt:lpstr>
      <vt:lpstr>违纪信息</vt:lpstr>
      <vt:lpstr>违规信息</vt:lpstr>
      <vt:lpstr>标准答复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flame</cp:lastModifiedBy>
  <dcterms:created xsi:type="dcterms:W3CDTF">2026-04-21T02:46:00Z</dcterms:created>
  <dcterms:modified xsi:type="dcterms:W3CDTF">2026-05-11T14:13:07Z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C1EEA2FB9CA34BF18FF8CD09F31C02A9_13</vt:lpwstr>
  </property>
  <property fmtid="{D5CDD505-2E9C-101B-9397-08002B2CF9AE}" pid="4" name="CalculationRule">
    <vt:i4>0</vt:i4>
  </property>
</Properties>
</file>